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レジ締め" state="visible" r:id="rId4"/>
  </sheets>
  <calcPr calcId="171027"/>
</workbook>
</file>

<file path=xl/sharedStrings.xml><?xml version="1.0" encoding="utf-8"?>
<sst xmlns="http://schemas.openxmlformats.org/spreadsheetml/2006/main" count="63" uniqueCount="47">
  <si>
    <t>レジ締めチェック表</t>
  </si>
  <si>
    <t>黄色の所に入力すると、灰色の所が自動で計算されます。日付ごとにシートをコピーして使い、精算レシートといっしょに保管しましょう。</t>
  </si>
  <si>
    <t>日付</t>
  </si>
  <si>
    <t/>
  </si>
  <si>
    <t>締めた人／確かめた人</t>
  </si>
  <si>
    <t>0. 締める前に（POSレジの画面で。済んだら「済」を選ぶ）</t>
  </si>
  <si>
    <t>取り消し・返品・訂正の伝票に問題がない</t>
  </si>
  <si>
    <t>送られていない会計データがない（通知が出ていないか）</t>
  </si>
  <si>
    <t>1. 現金を数える（金種表）</t>
  </si>
  <si>
    <t>2. あるはずの現金を計算する</t>
  </si>
  <si>
    <t>お札・硬貨</t>
  </si>
  <si>
    <t>枚数</t>
  </si>
  <si>
    <t>金額</t>
  </si>
  <si>
    <t>B 開店時の釣り銭（準備金）</t>
  </si>
  <si>
    <t>C 現金の売上（POSレジの記録）</t>
  </si>
  <si>
    <t>D 営業中の入金（両替など）</t>
  </si>
  <si>
    <t>E 営業中の出金（買い出しなど）</t>
  </si>
  <si>
    <t>F あるはずの現金（B＋C＋D－E）</t>
  </si>
  <si>
    <t>差額（A－F）</t>
  </si>
  <si>
    <t>3. キャッシュレスを見比べる</t>
  </si>
  <si>
    <t>支払い方法</t>
  </si>
  <si>
    <t>POSレジ</t>
  </si>
  <si>
    <t>決済の管理画面</t>
  </si>
  <si>
    <t>差</t>
  </si>
  <si>
    <t>クレジットカード</t>
  </si>
  <si>
    <t>QRコード決済</t>
  </si>
  <si>
    <t>営業中に金庫などへ移した現金</t>
  </si>
  <si>
    <t>電子マネー</t>
  </si>
  <si>
    <t>数えた現金の合計（A）</t>
  </si>
  <si>
    <t>その他（商品券など）</t>
  </si>
  <si>
    <t>商品券・クーポン券は現金とまぜずに分けて数えます。</t>
  </si>
  <si>
    <t>「差」が0でなければ、支払い方法の登録まちがいを確かめる</t>
  </si>
  <si>
    <t>4. 差額が出たら、上から順に確かめる（済んだら「済」を選ぶ）</t>
  </si>
  <si>
    <t>金種ごとに数え直した（お札の重なり、硬貨の積み方、商品券がまざっていないか）</t>
  </si>
  <si>
    <t>金庫などへ移した現金も数えた（交代のときの伝え忘れはないか）</t>
  </si>
  <si>
    <t>開店時の釣り銭（B）が、いつもの金額と同じ</t>
  </si>
  <si>
    <t>営業中の入金・出金（D・E）を、すべて記録した</t>
  </si>
  <si>
    <t>キャッシュレスの会計を「現金」で登録していない（3の表の「差」が0か）</t>
  </si>
  <si>
    <t>会計忘れ・二重の会計・取り消し忘れがない（返品のときに現金を戻したかも）</t>
  </si>
  <si>
    <t>値引き・クーポンがレジに入っている（口頭で値引きして、入れ忘れていないか）</t>
  </si>
  <si>
    <t>差額が、どれかの会計のお釣りと同じ金額ではない（お釣りの渡し間違いの手がかり）</t>
  </si>
  <si>
    <t>差額の理由・気づいたこと</t>
  </si>
  <si>
    <t>5. 店じまい</t>
  </si>
  <si>
    <t>翌日の釣り銭を残した（金額は右へ。毎日同じ金額に決めておくと迷いません）</t>
  </si>
  <si>
    <t>売上金を取り出した（A－翌日の釣り銭。右に自動で出ます）</t>
  </si>
  <si>
    <t>表・裏の出入口と、小さな窓の鍵を閉めた</t>
  </si>
  <si>
    <t>mise &amp; register（https://www.mise-register.com/）｜お店の中で自由にコピーして使えます。再配布・販売はご遠慮ください。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</si>
</sst>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&quot;円&quot;"/>
    <numFmt numFmtId="165" formatCode="#,##0&quot;枚&quot;"/>
  </numFmts>
  <fonts count="8" x14ac:knownFonts="1">
    <font>
      <color theme="1"/>
      <family val="2"/>
      <scheme val="minor"/>
      <sz val="11"/>
      <name val="Calibri"/>
    </font>
    <font>
      <b/>
      <sz val="16"/>
      <name val="Yu Gothic"/>
    </font>
    <font>
      <color rgb="FF555555"/>
      <sz val="9"/>
      <name val="Yu Gothic"/>
    </font>
    <font>
      <b/>
      <sz val="11"/>
      <name val="Yu Gothic"/>
    </font>
    <font>
      <sz val="11"/>
      <name val="Yu Gothic"/>
    </font>
    <font>
      <b/>
      <sz val="12"/>
      <name val="Yu Gothic"/>
    </font>
    <font>
      <b/>
      <sz val="10"/>
      <name val="Yu Gothic"/>
    </font>
    <font>
      <sz val="10"/>
      <name val="Yu Gothic"/>
    </font>
  </fonts>
  <fills count="4">
    <fill>
      <patternFill patternType="none"/>
    </fill>
    <fill>
      <patternFill patternType="gray125"/>
    </fill>
    <fill>
      <patternFill patternType="solid">
        <fgColor rgb="FFFFF6D6"/>
      </patternFill>
    </fill>
    <fill>
      <patternFill patternType="solid">
        <fgColor rgb="FFEFEFEF"/>
      </patternFill>
    </fill>
  </fills>
  <borders count="2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164" fontId="4" fillId="2" borderId="1" xfId="0" applyNumberFormat="1" applyFont="1" applyFill="1" applyBorder="1" applyAlignment="1">
      <alignment horizontal="right" vertical="center" wrapText="1"/>
    </xf>
    <xf numFmtId="164" fontId="4" fillId="0" borderId="1" xfId="0" applyNumberFormat="1" applyFont="1" applyBorder="1" applyAlignment="1">
      <alignment horizontal="left" vertical="center" wrapText="1"/>
    </xf>
    <xf numFmtId="165" fontId="4" fillId="2" borderId="1" xfId="0" applyNumberFormat="1" applyFont="1" applyFill="1" applyBorder="1" applyAlignment="1">
      <alignment horizontal="right" vertical="center" wrapText="1"/>
    </xf>
    <xf numFmtId="164" fontId="4" fillId="3" borderId="1" xfId="0" applyNumberFormat="1" applyFont="1" applyFill="1" applyBorder="1" applyAlignment="1">
      <alignment horizontal="right" vertical="center" wrapText="1"/>
    </xf>
    <xf numFmtId="0" fontId="3" fillId="0" borderId="1" xfId="0" applyFont="1" applyBorder="1" applyAlignment="1">
      <alignment horizontal="left" vertical="center" wrapText="1"/>
    </xf>
    <xf numFmtId="164" fontId="3" fillId="3" borderId="1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2">
    <dxf>
      <font>
        <b/>
        <color rgb="FFC0392B"/>
      </font>
    </dxf>
    <dxf>
      <font>
        <b/>
        <color rgb="FFC0392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43"/>
  <sheetViews>
    <sheetView workbookViewId="0" showGridLines="0"/>
  </sheetViews>
  <sheetFormatPr defaultRowHeight="20" outlineLevelRow="0" outlineLevelCol="0" x14ac:dyDescent="55" customHeight="1"/>
  <cols>
    <col min="1" max="1" width="30" customWidth="1"/>
    <col min="2" max="2" width="12" customWidth="1"/>
    <col min="3" max="3" width="16" customWidth="1"/>
    <col min="4" max="4" width="3" customWidth="1"/>
    <col min="5" max="5" width="30" customWidth="1"/>
    <col min="6" max="7" width="15" customWidth="1"/>
    <col min="8" max="8" width="13" customWidth="1"/>
  </cols>
  <sheetData>
    <row r="1" spans="1:1" x14ac:dyDescent="0.25">
      <c r="A1" s="1" t="s">
        <v>0</v>
      </c>
    </row>
    <row r="2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spans="1:7" x14ac:dyDescent="0.25">
      <c r="A3" s="3" t="s">
        <v>2</v>
      </c>
      <c r="B3" s="4" t="s">
        <v>3</v>
      </c>
      <c r="C3" s="4"/>
      <c r="E3" s="3" t="s">
        <v>4</v>
      </c>
      <c r="F3" s="4" t="s">
        <v>3</v>
      </c>
      <c r="G3" s="4" t="s">
        <v>3</v>
      </c>
    </row>
    <row r="5" spans="1:1" x14ac:dyDescent="0.25">
      <c r="A5" s="5" t="s">
        <v>5</v>
      </c>
    </row>
    <row r="6" spans="1:6" x14ac:dyDescent="0.25">
      <c r="A6" s="6" t="s">
        <v>6</v>
      </c>
      <c r="B6" s="6"/>
      <c r="C6" s="6"/>
      <c r="D6" s="6"/>
      <c r="E6" s="6"/>
      <c r="F6" s="7" t="s">
        <v>3</v>
      </c>
    </row>
    <row r="7" spans="1:6" x14ac:dyDescent="0.25">
      <c r="A7" s="6" t="s">
        <v>7</v>
      </c>
      <c r="B7" s="6"/>
      <c r="C7" s="6"/>
      <c r="D7" s="6"/>
      <c r="E7" s="6"/>
      <c r="F7" s="7" t="s">
        <v>3</v>
      </c>
    </row>
    <row r="9" spans="1:5" x14ac:dyDescent="0.25">
      <c r="A9" s="5" t="s">
        <v>8</v>
      </c>
      <c r="E9" s="5" t="s">
        <v>9</v>
      </c>
    </row>
    <row r="10" spans="1:6" x14ac:dyDescent="0.25">
      <c r="A10" s="8" t="s">
        <v>10</v>
      </c>
      <c r="B10" s="8" t="s">
        <v>11</v>
      </c>
      <c r="C10" s="8" t="s">
        <v>12</v>
      </c>
      <c r="E10" s="6" t="s">
        <v>13</v>
      </c>
      <c r="F10" s="9"/>
    </row>
    <row r="11" spans="1:6" x14ac:dyDescent="0.25">
      <c r="A11" s="10">
        <v>10000</v>
      </c>
      <c r="B11" s="11"/>
      <c r="C11" s="12">
        <f>A11*B11</f>
      </c>
      <c r="E11" s="6" t="s">
        <v>14</v>
      </c>
      <c r="F11" s="9"/>
    </row>
    <row r="12" spans="1:6" x14ac:dyDescent="0.25">
      <c r="A12" s="10">
        <v>5000</v>
      </c>
      <c r="B12" s="11"/>
      <c r="C12" s="12">
        <f>A12*B12</f>
      </c>
      <c r="E12" s="6" t="s">
        <v>15</v>
      </c>
      <c r="F12" s="9"/>
    </row>
    <row r="13" spans="1:6" x14ac:dyDescent="0.25">
      <c r="A13" s="10">
        <v>2000</v>
      </c>
      <c r="B13" s="11"/>
      <c r="C13" s="12">
        <f>A13*B13</f>
      </c>
      <c r="E13" s="6" t="s">
        <v>16</v>
      </c>
      <c r="F13" s="9"/>
    </row>
    <row r="14" spans="1:6" x14ac:dyDescent="0.25">
      <c r="A14" s="10">
        <v>1000</v>
      </c>
      <c r="B14" s="11"/>
      <c r="C14" s="12">
        <f>A14*B14</f>
      </c>
      <c r="E14" s="13" t="s">
        <v>17</v>
      </c>
      <c r="F14" s="14">
        <f>F10+F11+F12-F13</f>
      </c>
    </row>
    <row r="15" spans="1:8" x14ac:dyDescent="0.25">
      <c r="A15" s="10">
        <v>500</v>
      </c>
      <c r="B15" s="11"/>
      <c r="C15" s="12">
        <f>A15*B15</f>
      </c>
      <c r="E15" s="13" t="s">
        <v>18</v>
      </c>
      <c r="F15" s="14">
        <f>C22-F14</f>
      </c>
      <c r="G15" s="15">
        <f>IF(F15=0,"合っています",IF(F15&gt;0,"多い（現金が多い）","少ない（現金が足りない）"))</f>
      </c>
      <c r="H15" s="15"/>
    </row>
    <row r="16" spans="1:3" x14ac:dyDescent="0.25">
      <c r="A16" s="10">
        <v>100</v>
      </c>
      <c r="B16" s="11"/>
      <c r="C16" s="12">
        <f>A16*B16</f>
      </c>
    </row>
    <row r="17" spans="1:5" x14ac:dyDescent="0.25">
      <c r="A17" s="10">
        <v>50</v>
      </c>
      <c r="B17" s="11"/>
      <c r="C17" s="12">
        <f>A17*B17</f>
      </c>
      <c r="E17" s="5" t="s">
        <v>19</v>
      </c>
    </row>
    <row r="18" spans="1:8" x14ac:dyDescent="0.25">
      <c r="A18" s="10">
        <v>10</v>
      </c>
      <c r="B18" s="11"/>
      <c r="C18" s="12">
        <f>A18*B18</f>
      </c>
      <c r="E18" s="8" t="s">
        <v>20</v>
      </c>
      <c r="F18" s="8" t="s">
        <v>21</v>
      </c>
      <c r="G18" s="8" t="s">
        <v>22</v>
      </c>
      <c r="H18" s="8" t="s">
        <v>23</v>
      </c>
    </row>
    <row r="19" spans="1:8" x14ac:dyDescent="0.25">
      <c r="A19" s="10">
        <v>5</v>
      </c>
      <c r="B19" s="11"/>
      <c r="C19" s="12">
        <f>A19*B19</f>
      </c>
      <c r="E19" s="6" t="s">
        <v>24</v>
      </c>
      <c r="F19" s="9"/>
      <c r="G19" s="9"/>
      <c r="H19" s="12">
        <f>F19-G19</f>
      </c>
    </row>
    <row r="20" spans="1:8" x14ac:dyDescent="0.25">
      <c r="A20" s="10">
        <v>1</v>
      </c>
      <c r="B20" s="11"/>
      <c r="C20" s="12">
        <f>A20*B20</f>
      </c>
      <c r="E20" s="6" t="s">
        <v>25</v>
      </c>
      <c r="F20" s="9"/>
      <c r="G20" s="9"/>
      <c r="H20" s="12">
        <f>F20-G20</f>
      </c>
    </row>
    <row r="21" spans="1:8" x14ac:dyDescent="0.25">
      <c r="A21" s="16" t="s">
        <v>26</v>
      </c>
      <c r="B21" s="16"/>
      <c r="C21" s="9"/>
      <c r="E21" s="6" t="s">
        <v>27</v>
      </c>
      <c r="F21" s="9"/>
      <c r="G21" s="9"/>
      <c r="H21" s="12">
        <f>F21-G21</f>
      </c>
    </row>
    <row r="22" spans="1:8" x14ac:dyDescent="0.25">
      <c r="A22" s="17" t="s">
        <v>28</v>
      </c>
      <c r="B22" s="17"/>
      <c r="C22" s="14">
        <f>SUM(C11:C21)</f>
      </c>
      <c r="E22" s="6" t="s">
        <v>29</v>
      </c>
      <c r="F22" s="9"/>
      <c r="G22" s="9"/>
      <c r="H22" s="12">
        <f>F22-G22</f>
      </c>
    </row>
    <row r="23" spans="1:8" x14ac:dyDescent="0.25">
      <c r="A23" s="2" t="s">
        <v>30</v>
      </c>
      <c r="B23" s="2"/>
      <c r="C23" s="2"/>
      <c r="E23" s="2" t="s">
        <v>31</v>
      </c>
      <c r="F23" s="2"/>
      <c r="G23" s="2"/>
      <c r="H23" s="2"/>
    </row>
    <row r="25" spans="1:1" x14ac:dyDescent="0.25">
      <c r="A25" s="5" t="s">
        <v>32</v>
      </c>
    </row>
    <row r="26" spans="1:6" x14ac:dyDescent="0.25">
      <c r="A26" s="6" t="s">
        <v>33</v>
      </c>
      <c r="B26" s="6"/>
      <c r="C26" s="6"/>
      <c r="D26" s="6"/>
      <c r="E26" s="6"/>
      <c r="F26" s="7" t="s">
        <v>3</v>
      </c>
    </row>
    <row r="27" spans="1:6" x14ac:dyDescent="0.25">
      <c r="A27" s="6" t="s">
        <v>34</v>
      </c>
      <c r="B27" s="6"/>
      <c r="C27" s="6"/>
      <c r="D27" s="6"/>
      <c r="E27" s="6"/>
      <c r="F27" s="7" t="s">
        <v>3</v>
      </c>
    </row>
    <row r="28" spans="1:6" x14ac:dyDescent="0.25">
      <c r="A28" s="6" t="s">
        <v>35</v>
      </c>
      <c r="B28" s="6"/>
      <c r="C28" s="6"/>
      <c r="D28" s="6"/>
      <c r="E28" s="6"/>
      <c r="F28" s="7" t="s">
        <v>3</v>
      </c>
    </row>
    <row r="29" spans="1:6" x14ac:dyDescent="0.25">
      <c r="A29" s="6" t="s">
        <v>36</v>
      </c>
      <c r="B29" s="6"/>
      <c r="C29" s="6"/>
      <c r="D29" s="6"/>
      <c r="E29" s="6"/>
      <c r="F29" s="7" t="s">
        <v>3</v>
      </c>
    </row>
    <row r="30" spans="1:6" x14ac:dyDescent="0.25">
      <c r="A30" s="6" t="s">
        <v>37</v>
      </c>
      <c r="B30" s="6"/>
      <c r="C30" s="6"/>
      <c r="D30" s="6"/>
      <c r="E30" s="6"/>
      <c r="F30" s="7" t="s">
        <v>3</v>
      </c>
    </row>
    <row r="31" spans="1:6" x14ac:dyDescent="0.25">
      <c r="A31" s="6" t="s">
        <v>38</v>
      </c>
      <c r="B31" s="6"/>
      <c r="C31" s="6"/>
      <c r="D31" s="6"/>
      <c r="E31" s="6"/>
      <c r="F31" s="7" t="s">
        <v>3</v>
      </c>
    </row>
    <row r="32" spans="1:6" x14ac:dyDescent="0.25">
      <c r="A32" s="6" t="s">
        <v>39</v>
      </c>
      <c r="B32" s="6"/>
      <c r="C32" s="6"/>
      <c r="D32" s="6"/>
      <c r="E32" s="6"/>
      <c r="F32" s="7" t="s">
        <v>3</v>
      </c>
    </row>
    <row r="33" spans="1:6" x14ac:dyDescent="0.25">
      <c r="A33" s="6" t="s">
        <v>40</v>
      </c>
      <c r="B33" s="6"/>
      <c r="C33" s="6"/>
      <c r="D33" s="6"/>
      <c r="E33" s="6"/>
      <c r="F33" s="7" t="s">
        <v>3</v>
      </c>
    </row>
    <row r="34" spans="1:1" x14ac:dyDescent="0.25">
      <c r="A34" s="3" t="s">
        <v>41</v>
      </c>
    </row>
    <row r="35" ht="28" customHeight="1" spans="1:8" x14ac:dyDescent="0.25">
      <c r="A35" s="4" t="s">
        <v>3</v>
      </c>
      <c r="B35" s="4"/>
      <c r="C35" s="4"/>
      <c r="D35" s="4"/>
      <c r="E35" s="4"/>
      <c r="F35" s="4"/>
      <c r="G35" s="4"/>
      <c r="H35" s="4"/>
    </row>
    <row r="36" ht="28" customHeight="1" spans="1:8" x14ac:dyDescent="0.25">
      <c r="A36" s="4"/>
      <c r="B36" s="4"/>
      <c r="C36" s="4"/>
      <c r="D36" s="4"/>
      <c r="E36" s="4"/>
      <c r="F36" s="4"/>
      <c r="G36" s="4"/>
      <c r="H36" s="4"/>
    </row>
    <row r="38" spans="1:1" x14ac:dyDescent="0.25">
      <c r="A38" s="5" t="s">
        <v>42</v>
      </c>
    </row>
    <row r="39" spans="1:7" x14ac:dyDescent="0.25">
      <c r="A39" s="6" t="s">
        <v>43</v>
      </c>
      <c r="B39" s="6"/>
      <c r="C39" s="6"/>
      <c r="D39" s="6"/>
      <c r="E39" s="6"/>
      <c r="F39" s="7" t="s">
        <v>3</v>
      </c>
      <c r="G39" s="9"/>
    </row>
    <row r="40" spans="1:7" x14ac:dyDescent="0.25">
      <c r="A40" s="6" t="s">
        <v>44</v>
      </c>
      <c r="B40" s="6"/>
      <c r="C40" s="6"/>
      <c r="D40" s="6"/>
      <c r="E40" s="6"/>
      <c r="F40" s="7" t="s">
        <v>3</v>
      </c>
      <c r="G40" s="14">
        <f>IF(G39="","",C22-G39)</f>
      </c>
    </row>
    <row r="41" spans="1:6" x14ac:dyDescent="0.25">
      <c r="A41" s="6" t="s">
        <v>45</v>
      </c>
      <c r="B41" s="6"/>
      <c r="C41" s="6"/>
      <c r="D41" s="6"/>
      <c r="E41" s="6"/>
      <c r="F41" s="7" t="s">
        <v>3</v>
      </c>
    </row>
    <row r="43" spans="1:8" x14ac:dyDescent="0.25">
      <c r="A43" s="2" t="s">
        <v>46</v>
      </c>
      <c r="B43" s="2"/>
      <c r="C43" s="2"/>
      <c r="D43" s="2"/>
      <c r="E43" s="2"/>
      <c r="F43" s="2"/>
      <c r="G43" s="2"/>
      <c r="H43" s="2"/>
    </row>
  </sheetData>
  <mergeCells count="22">
    <mergeCell ref="A2:H2"/>
    <mergeCell ref="B3:C3"/>
    <mergeCell ref="A6:E6"/>
    <mergeCell ref="A7:E7"/>
    <mergeCell ref="G15:H15"/>
    <mergeCell ref="A21:B21"/>
    <mergeCell ref="A22:B22"/>
    <mergeCell ref="A23:C23"/>
    <mergeCell ref="E23:H23"/>
    <mergeCell ref="A26:E26"/>
    <mergeCell ref="A27:E27"/>
    <mergeCell ref="A28:E28"/>
    <mergeCell ref="A29:E29"/>
    <mergeCell ref="A30:E30"/>
    <mergeCell ref="A31:E31"/>
    <mergeCell ref="A32:E32"/>
    <mergeCell ref="A33:E33"/>
    <mergeCell ref="A35:H36"/>
    <mergeCell ref="A39:E39"/>
    <mergeCell ref="A40:E40"/>
    <mergeCell ref="A41:E41"/>
    <mergeCell ref="A43:H43"/>
  </mergeCells>
  <conditionalFormatting sqref="F15:G15">
    <cfRule type="expression" dxfId="0" priority="1">
      <formula>$F$15&lt;&gt;0</formula>
    </cfRule>
  </conditionalFormatting>
  <conditionalFormatting sqref="H19:H22">
    <cfRule type="expression" dxfId="1" priority="2">
      <formula>H19&lt;&gt;0</formula>
    </cfRule>
  </conditionalFormatting>
  <dataValidations count="3">
    <dataValidation type="list" allowBlank="1" sqref="F26:F33">
      <formula1>"済,－"</formula1>
    </dataValidation>
    <dataValidation type="list" allowBlank="1" sqref="F39:F41">
      <formula1>"済,－"</formula1>
    </dataValidation>
    <dataValidation type="list" allowBlank="1" sqref="F6:F7">
      <formula1>"済,－"</formula1>
    </dataValidation>
  </dataValidations>
  <pageMargins left="0.7" right="0.7" top="0.75" bottom="0.75" header="0.3" footer="0.3"/>
  <pageSetup paperSize="9"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レジ締め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mise &amp; register</dc:creator>
  <dc:title/>
  <dc:subject/>
  <dc:description/>
  <cp:keywords/>
  <cp:category/>
  <cp:lastModifiedBy>Unknown</cp:lastModifiedBy>
  <dcterms:created xsi:type="dcterms:W3CDTF">2026-10-29T18:49:28Z</dcterms:created>
  <dcterms:modified xsi:type="dcterms:W3CDTF">2026-10-29T18:49:28Z</dcterms:modified>
</cp:coreProperties>
</file>