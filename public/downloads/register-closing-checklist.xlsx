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レジ締め" state="visible" r:id="rId4"/>
  </sheets>
  <calcPr calcId="171027"/>
</workbook>
</file>

<file path=xl/sharedStrings.xml><?xml version="1.0" encoding="utf-8"?>
<sst xmlns="http://schemas.openxmlformats.org/spreadsheetml/2006/main" count="49" uniqueCount="37">
  <si>
    <t>レジ締めチェック表</t>
  </si>
  <si>
    <t>黄色の所に入力すると、灰色の所が自動で計算されます。日付ごとにシートをコピーして使ってください。</t>
  </si>
  <si>
    <t>日付</t>
  </si>
  <si>
    <t/>
  </si>
  <si>
    <t>締めた人／確かめた人</t>
  </si>
  <si>
    <t>1. 現金を数える（金種表）</t>
  </si>
  <si>
    <t>2. あるはずの現金を計算する</t>
  </si>
  <si>
    <t>お札・硬貨</t>
  </si>
  <si>
    <t>枚数</t>
  </si>
  <si>
    <t>金額</t>
  </si>
  <si>
    <t>B 開店時の釣り銭（準備金）</t>
  </si>
  <si>
    <t>C 現金の売上（POSレジの記録）</t>
  </si>
  <si>
    <t>D 営業中の入金（両替など）</t>
  </si>
  <si>
    <t>E 営業中の出金（買い出しなど）</t>
  </si>
  <si>
    <t>F あるはずの現金（B＋C＋D－E）</t>
  </si>
  <si>
    <t>差額（A－F）</t>
  </si>
  <si>
    <t>3. キャッシュレスを見比べる</t>
  </si>
  <si>
    <t>支払い方法</t>
  </si>
  <si>
    <t>POSレジ</t>
  </si>
  <si>
    <t>決済の管理画面</t>
  </si>
  <si>
    <t>クレジットカード</t>
  </si>
  <si>
    <t>QRコード決済</t>
  </si>
  <si>
    <t>数えた現金の合計（A）</t>
  </si>
  <si>
    <t>電子マネー</t>
  </si>
  <si>
    <t>差があれば、支払い方法の登録まちがいを確かめる</t>
  </si>
  <si>
    <t>4. 差額が出たら、上から順に確かめる（済んだら「済」を選ぶ）</t>
  </si>
  <si>
    <t>金種ごとに数え直した</t>
  </si>
  <si>
    <t>開店時の釣り銭（B）が、いつもの金額と同じ</t>
  </si>
  <si>
    <t>営業中の入金・出金（D・E）を、すべて記録した</t>
  </si>
  <si>
    <t>返品・取り消しの会計で、現金を戻したか確かめた</t>
  </si>
  <si>
    <t>キャッシュレスの会計を「現金」で登録していない</t>
  </si>
  <si>
    <t>差額の理由・気づいたこと</t>
  </si>
  <si>
    <t>5. 店じまい</t>
  </si>
  <si>
    <t>売上金を店内（レジ・金庫）に残していない</t>
  </si>
  <si>
    <t>翌日の釣り銭を用意した（金額は右へ）</t>
  </si>
  <si>
    <t>表・裏の出入口と、小さな窓の鍵を閉めた</t>
  </si>
  <si>
    <t>mise &amp; register（https://www.mise-register.com/）｜お店の中で自由にコピーして使えます。再配布・販売はご遠慮ください。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</si>
</sst>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&quot;円&quot;"/>
    <numFmt numFmtId="165" formatCode="#,##0&quot;枚&quot;"/>
  </numFmts>
  <fonts count="7" x14ac:knownFonts="1">
    <font>
      <color theme="1"/>
      <family val="2"/>
      <scheme val="minor"/>
      <sz val="11"/>
      <name val="Calibri"/>
    </font>
    <font>
      <b/>
      <sz val="16"/>
      <name val="Yu Gothic"/>
    </font>
    <font>
      <color rgb="FF555555"/>
      <sz val="9"/>
      <name val="Yu Gothic"/>
    </font>
    <font>
      <b/>
      <sz val="11"/>
      <name val="Yu Gothic"/>
    </font>
    <font>
      <sz val="11"/>
      <name val="Yu Gothic"/>
    </font>
    <font>
      <b/>
      <sz val="12"/>
      <name val="Yu Gothic"/>
    </font>
    <font>
      <b/>
      <sz val="10"/>
      <name val="Yu Gothic"/>
    </font>
  </fonts>
  <fills count="4">
    <fill>
      <patternFill patternType="none"/>
    </fill>
    <fill>
      <patternFill patternType="gray125"/>
    </fill>
    <fill>
      <patternFill patternType="solid">
        <fgColor rgb="FFFFF6D6"/>
      </patternFill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b/>
        <color rgb="FFC0392B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5"/>
  <sheetViews>
    <sheetView workbookViewId="0" showGridLines="0"/>
  </sheetViews>
  <sheetFormatPr defaultRowHeight="20" outlineLevelRow="0" outlineLevelCol="0" x14ac:dyDescent="55" customHeight="1"/>
  <cols>
    <col min="1" max="1" width="30" customWidth="1"/>
    <col min="2" max="2" width="14" customWidth="1"/>
    <col min="3" max="3" width="16" customWidth="1"/>
    <col min="4" max="4" width="4" customWidth="1"/>
    <col min="5" max="5" width="30" customWidth="1"/>
    <col min="6" max="7" width="16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4" t="s">
        <v>3</v>
      </c>
      <c r="C3" s="4"/>
      <c r="E3" s="3" t="s">
        <v>4</v>
      </c>
      <c r="F3" s="4" t="s">
        <v>3</v>
      </c>
      <c r="G3" s="4" t="s">
        <v>3</v>
      </c>
    </row>
    <row r="5" spans="1:5" x14ac:dyDescent="0.25">
      <c r="A5" s="5" t="s">
        <v>5</v>
      </c>
      <c r="E5" s="5" t="s">
        <v>6</v>
      </c>
    </row>
    <row r="6" spans="1:6" x14ac:dyDescent="0.25">
      <c r="A6" s="6" t="s">
        <v>7</v>
      </c>
      <c r="B6" s="6" t="s">
        <v>8</v>
      </c>
      <c r="C6" s="6" t="s">
        <v>9</v>
      </c>
      <c r="E6" s="7" t="s">
        <v>10</v>
      </c>
      <c r="F6" s="8"/>
    </row>
    <row r="7" spans="1:6" x14ac:dyDescent="0.25">
      <c r="A7" s="9">
        <v>10000</v>
      </c>
      <c r="B7" s="10"/>
      <c r="C7" s="11">
        <f>A7*B7</f>
      </c>
      <c r="E7" s="7" t="s">
        <v>11</v>
      </c>
      <c r="F7" s="8"/>
    </row>
    <row r="8" spans="1:6" x14ac:dyDescent="0.25">
      <c r="A8" s="9">
        <v>5000</v>
      </c>
      <c r="B8" s="10"/>
      <c r="C8" s="11">
        <f>A8*B8</f>
      </c>
      <c r="E8" s="7" t="s">
        <v>12</v>
      </c>
      <c r="F8" s="8"/>
    </row>
    <row r="9" spans="1:6" x14ac:dyDescent="0.25">
      <c r="A9" s="9">
        <v>2000</v>
      </c>
      <c r="B9" s="10"/>
      <c r="C9" s="11">
        <f>A9*B9</f>
      </c>
      <c r="E9" s="7" t="s">
        <v>13</v>
      </c>
      <c r="F9" s="8"/>
    </row>
    <row r="10" spans="1:6" x14ac:dyDescent="0.25">
      <c r="A10" s="9">
        <v>1000</v>
      </c>
      <c r="B10" s="10"/>
      <c r="C10" s="11">
        <f>A10*B10</f>
      </c>
      <c r="E10" s="12" t="s">
        <v>14</v>
      </c>
      <c r="F10" s="13">
        <f>F6+F7+F8-F9</f>
      </c>
    </row>
    <row r="11" spans="1:7" x14ac:dyDescent="0.25">
      <c r="A11" s="9">
        <v>500</v>
      </c>
      <c r="B11" s="10"/>
      <c r="C11" s="11">
        <f>A11*B11</f>
      </c>
      <c r="E11" s="12" t="s">
        <v>15</v>
      </c>
      <c r="F11" s="13">
        <f>C17-F10</f>
      </c>
      <c r="G11" s="14">
        <f>IF(F11=0,"合っています",IF(F11&gt;0,"多い（現金が多い）","少ない（現金が足りない）"))</f>
      </c>
    </row>
    <row r="12" spans="1:3" x14ac:dyDescent="0.25">
      <c r="A12" s="9">
        <v>100</v>
      </c>
      <c r="B12" s="10"/>
      <c r="C12" s="11">
        <f>A12*B12</f>
      </c>
    </row>
    <row r="13" spans="1:5" x14ac:dyDescent="0.25">
      <c r="A13" s="9">
        <v>50</v>
      </c>
      <c r="B13" s="10"/>
      <c r="C13" s="11">
        <f>A13*B13</f>
      </c>
      <c r="E13" s="5" t="s">
        <v>16</v>
      </c>
    </row>
    <row r="14" spans="1:7" x14ac:dyDescent="0.25">
      <c r="A14" s="9">
        <v>10</v>
      </c>
      <c r="B14" s="10"/>
      <c r="C14" s="11">
        <f>A14*B14</f>
      </c>
      <c r="E14" s="6" t="s">
        <v>17</v>
      </c>
      <c r="F14" s="6" t="s">
        <v>18</v>
      </c>
      <c r="G14" s="6" t="s">
        <v>19</v>
      </c>
    </row>
    <row r="15" spans="1:7" x14ac:dyDescent="0.25">
      <c r="A15" s="9">
        <v>5</v>
      </c>
      <c r="B15" s="10"/>
      <c r="C15" s="11">
        <f>A15*B15</f>
      </c>
      <c r="E15" s="7" t="s">
        <v>20</v>
      </c>
      <c r="F15" s="8"/>
      <c r="G15" s="8"/>
    </row>
    <row r="16" spans="1:7" x14ac:dyDescent="0.25">
      <c r="A16" s="9">
        <v>1</v>
      </c>
      <c r="B16" s="10"/>
      <c r="C16" s="11">
        <f>A16*B16</f>
      </c>
      <c r="E16" s="7" t="s">
        <v>21</v>
      </c>
      <c r="F16" s="8"/>
      <c r="G16" s="8"/>
    </row>
    <row r="17" spans="1:7" x14ac:dyDescent="0.25">
      <c r="A17" s="15" t="s">
        <v>22</v>
      </c>
      <c r="B17" s="16" t="s">
        <v>3</v>
      </c>
      <c r="C17" s="13">
        <f>SUM(C7:C16)</f>
      </c>
      <c r="E17" s="7" t="s">
        <v>23</v>
      </c>
      <c r="F17" s="8"/>
      <c r="G17" s="8"/>
    </row>
    <row r="18" spans="5:7" x14ac:dyDescent="0.25">
      <c r="E18" s="2" t="s">
        <v>24</v>
      </c>
      <c r="F18" s="2"/>
      <c r="G18" s="2"/>
    </row>
    <row r="20" spans="1:1" x14ac:dyDescent="0.25">
      <c r="A20" s="5" t="s">
        <v>25</v>
      </c>
    </row>
    <row r="21" spans="1:6" x14ac:dyDescent="0.25">
      <c r="A21" s="7" t="s">
        <v>26</v>
      </c>
      <c r="B21" s="7"/>
      <c r="C21" s="7"/>
      <c r="D21" s="7"/>
      <c r="E21" s="7"/>
      <c r="F21" s="17" t="s">
        <v>3</v>
      </c>
    </row>
    <row r="22" spans="1:6" x14ac:dyDescent="0.25">
      <c r="A22" s="7" t="s">
        <v>27</v>
      </c>
      <c r="B22" s="7"/>
      <c r="C22" s="7"/>
      <c r="D22" s="7"/>
      <c r="E22" s="7"/>
      <c r="F22" s="17" t="s">
        <v>3</v>
      </c>
    </row>
    <row r="23" spans="1:6" x14ac:dyDescent="0.25">
      <c r="A23" s="7" t="s">
        <v>28</v>
      </c>
      <c r="B23" s="7"/>
      <c r="C23" s="7"/>
      <c r="D23" s="7"/>
      <c r="E23" s="7"/>
      <c r="F23" s="17" t="s">
        <v>3</v>
      </c>
    </row>
    <row r="24" spans="1:6" x14ac:dyDescent="0.25">
      <c r="A24" s="7" t="s">
        <v>29</v>
      </c>
      <c r="B24" s="7"/>
      <c r="C24" s="7"/>
      <c r="D24" s="7"/>
      <c r="E24" s="7"/>
      <c r="F24" s="17" t="s">
        <v>3</v>
      </c>
    </row>
    <row r="25" spans="1:6" x14ac:dyDescent="0.25">
      <c r="A25" s="7" t="s">
        <v>30</v>
      </c>
      <c r="B25" s="7"/>
      <c r="C25" s="7"/>
      <c r="D25" s="7"/>
      <c r="E25" s="7"/>
      <c r="F25" s="17" t="s">
        <v>3</v>
      </c>
    </row>
    <row r="26" spans="1:1" x14ac:dyDescent="0.25">
      <c r="A26" s="3" t="s">
        <v>31</v>
      </c>
    </row>
    <row r="27" ht="28" customHeight="1" spans="1:7" x14ac:dyDescent="0.25">
      <c r="A27" s="4" t="s">
        <v>3</v>
      </c>
      <c r="B27" s="4"/>
      <c r="C27" s="4"/>
      <c r="D27" s="4"/>
      <c r="E27" s="4"/>
      <c r="F27" s="4"/>
      <c r="G27" s="4"/>
    </row>
    <row r="28" ht="28" customHeight="1" spans="1:7" x14ac:dyDescent="0.25">
      <c r="A28" s="4"/>
      <c r="B28" s="4"/>
      <c r="C28" s="4"/>
      <c r="D28" s="4"/>
      <c r="E28" s="4"/>
      <c r="F28" s="4"/>
      <c r="G28" s="4"/>
    </row>
    <row r="30" spans="1:1" x14ac:dyDescent="0.25">
      <c r="A30" s="5" t="s">
        <v>32</v>
      </c>
    </row>
    <row r="31" spans="1:6" x14ac:dyDescent="0.25">
      <c r="A31" s="7" t="s">
        <v>33</v>
      </c>
      <c r="B31" s="7"/>
      <c r="C31" s="7"/>
      <c r="D31" s="7"/>
      <c r="E31" s="7"/>
      <c r="F31" s="17" t="s">
        <v>3</v>
      </c>
    </row>
    <row r="32" spans="1:7" x14ac:dyDescent="0.25">
      <c r="A32" s="7" t="s">
        <v>34</v>
      </c>
      <c r="B32" s="7"/>
      <c r="C32" s="7"/>
      <c r="D32" s="7"/>
      <c r="E32" s="7"/>
      <c r="F32" s="17" t="s">
        <v>3</v>
      </c>
      <c r="G32" s="8"/>
    </row>
    <row r="33" spans="1:6" x14ac:dyDescent="0.25">
      <c r="A33" s="7" t="s">
        <v>35</v>
      </c>
      <c r="B33" s="7"/>
      <c r="C33" s="7"/>
      <c r="D33" s="7"/>
      <c r="E33" s="7"/>
      <c r="F33" s="17" t="s">
        <v>3</v>
      </c>
    </row>
    <row r="35" spans="1:7" x14ac:dyDescent="0.25">
      <c r="A35" s="2" t="s">
        <v>36</v>
      </c>
      <c r="B35" s="2"/>
      <c r="C35" s="2"/>
      <c r="D35" s="2"/>
      <c r="E35" s="2"/>
      <c r="F35" s="2"/>
      <c r="G35" s="2"/>
    </row>
  </sheetData>
  <mergeCells count="13">
    <mergeCell ref="A2:G2"/>
    <mergeCell ref="B3:C3"/>
    <mergeCell ref="E18:G18"/>
    <mergeCell ref="A21:E21"/>
    <mergeCell ref="A22:E22"/>
    <mergeCell ref="A23:E23"/>
    <mergeCell ref="A24:E24"/>
    <mergeCell ref="A25:E25"/>
    <mergeCell ref="A27:G28"/>
    <mergeCell ref="A31:E31"/>
    <mergeCell ref="A32:E32"/>
    <mergeCell ref="A33:E33"/>
    <mergeCell ref="A35:G35"/>
  </mergeCells>
  <conditionalFormatting sqref="F11:G11">
    <cfRule type="expression" dxfId="0" priority="1">
      <formula>$F$11&lt;&gt;0</formula>
    </cfRule>
  </conditionalFormatting>
  <dataValidations count="2">
    <dataValidation type="list" allowBlank="1" sqref="F21:F25">
      <formula1>"済,－"</formula1>
    </dataValidation>
    <dataValidation type="list" allowBlank="1" sqref="F31:F33">
      <formula1>"済,－"</formula1>
    </dataValidation>
  </dataValidation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レジ締め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mise &amp; register</dc:creator>
  <dc:title/>
  <dc:subject/>
  <dc:description/>
  <cp:keywords/>
  <cp:category/>
  <cp:lastModifiedBy>Unknown</cp:lastModifiedBy>
  <dcterms:created xsi:type="dcterms:W3CDTF">2026-10-29T18:05:00Z</dcterms:created>
  <dcterms:modified xsi:type="dcterms:W3CDTF">2026-10-29T18:05:00Z</dcterms:modified>
</cp:coreProperties>
</file>